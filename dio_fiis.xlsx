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bookViews>
    <workbookView xWindow="0" yWindow="0" windowWidth="21600" windowHeight="9750"/>
  </bookViews>
  <sheets>
    <sheet name="Principal" sheetId="2" r:id="rId1"/>
    <sheet name="Tipo_de_FIIs" sheetId="3" r:id="rId2"/>
  </sheets>
  <definedNames>
    <definedName name="rendimento_carteira">Principal!$D$16</definedName>
    <definedName name="salario">Principal!$D$15</definedName>
    <definedName name="taxa_rendimento">Principal!$D$22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2" l="1"/>
  <c r="D20" i="2" s="1"/>
  <c r="C28" i="2" s="1"/>
  <c r="D28" i="2" s="1"/>
  <c r="C39" i="2"/>
  <c r="C40" i="2"/>
  <c r="C41" i="2"/>
  <c r="C42" i="2"/>
  <c r="C43" i="2"/>
  <c r="C38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" i="3"/>
  <c r="D23" i="2" l="1"/>
  <c r="D24" i="2" s="1"/>
  <c r="C27" i="2"/>
  <c r="D27" i="2" s="1"/>
  <c r="C31" i="2"/>
  <c r="D31" i="2" s="1"/>
  <c r="C30" i="2"/>
  <c r="D30" i="2" s="1"/>
  <c r="C35" i="2"/>
  <c r="D43" i="2" s="1"/>
  <c r="C29" i="2"/>
  <c r="D29" i="2" s="1"/>
  <c r="D38" i="2" l="1"/>
  <c r="D39" i="2"/>
  <c r="D40" i="2"/>
  <c r="D42" i="2"/>
  <c r="D41" i="2"/>
  <c r="D44" i="2" l="1"/>
</calcChain>
</file>

<file path=xl/sharedStrings.xml><?xml version="1.0" encoding="utf-8"?>
<sst xmlns="http://schemas.openxmlformats.org/spreadsheetml/2006/main" count="69" uniqueCount="33">
  <si>
    <t>INVESTIMENTO MENSAL</t>
  </si>
  <si>
    <t>Quanto Investir Por Mês?</t>
  </si>
  <si>
    <t>Por Quantos Anos?</t>
  </si>
  <si>
    <t>Taxa De Rendimento Mensal?</t>
  </si>
  <si>
    <t>Patrimonio Acumulado?</t>
  </si>
  <si>
    <t>Dividendos Mensais?</t>
  </si>
  <si>
    <t>Quanto em 2 anos?</t>
  </si>
  <si>
    <t>Quanto em 5 anos?</t>
  </si>
  <si>
    <t>Quanto em 1 ano?</t>
  </si>
  <si>
    <t>Quanto em 10 anos?</t>
  </si>
  <si>
    <t>Quanto em 20 anos?</t>
  </si>
  <si>
    <t>CONFIGURAÇÕES</t>
  </si>
  <si>
    <t>Salário</t>
  </si>
  <si>
    <t>Rendimento Carteira</t>
  </si>
  <si>
    <t>Sugestão de investimento</t>
  </si>
  <si>
    <t>CENÁRIOS</t>
  </si>
  <si>
    <t>DIVIDENDO</t>
  </si>
  <si>
    <t>AGRESSIVO</t>
  </si>
  <si>
    <t>VALOR A SER INVESTIDO POR MÊS</t>
  </si>
  <si>
    <t>PERFIL</t>
  </si>
  <si>
    <t>TIPO DE FII</t>
  </si>
  <si>
    <t>%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</si>
  <si>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</si>
  <si>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</si>
  <si>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</si>
  <si>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</si>
  <si>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</si>
  <si>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</si>
  <si>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</si>
  <si>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CONSERVADOR</t>
  </si>
  <si>
    <t>%</t>
  </si>
  <si>
    <t>MODERADO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</si>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</sst>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6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2" tint="-0.499984740745262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9" tint="-0.499984740745262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medium">
        <color theme="7"/>
      </right>
      <top style="medium">
        <color theme="7"/>
      </top>
      <bottom/>
      <diagonal/>
    </border>
    <border>
      <left style="medium">
        <color theme="7"/>
      </left>
      <right/>
      <top style="medium">
        <color theme="7"/>
      </top>
      <bottom/>
      <diagonal/>
    </border>
    <border>
      <left/>
      <right/>
      <top style="medium">
        <color theme="7"/>
      </top>
      <bottom/>
      <diagonal/>
    </border>
    <border>
      <left style="medium">
        <color theme="7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7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7"/>
      </left>
      <right style="thin">
        <color theme="2" tint="-0.249977111117893"/>
      </right>
      <top style="thin">
        <color theme="2" tint="-0.249977111117893"/>
      </top>
      <bottom style="medium">
        <color theme="7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7"/>
      </bottom>
      <diagonal/>
    </border>
    <border>
      <left style="thin">
        <color theme="2" tint="-0.249977111117893"/>
      </left>
      <right style="medium">
        <color theme="7"/>
      </right>
      <top style="thin">
        <color theme="2" tint="-0.249977111117893"/>
      </top>
      <bottom style="medium">
        <color theme="7"/>
      </bottom>
      <diagonal/>
    </border>
    <border>
      <left/>
      <right/>
      <top style="thin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002060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rgb="FF002060"/>
      </left>
      <right style="thin">
        <color theme="2" tint="-0.249977111117893"/>
      </right>
      <top style="thin">
        <color theme="2" tint="-0.249977111117893"/>
      </top>
      <bottom style="medium">
        <color rgb="FF00206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rgb="FF002060"/>
      </bottom>
      <diagonal/>
    </border>
    <border>
      <left style="thin">
        <color theme="2" tint="-0.249977111117893"/>
      </left>
      <right style="medium">
        <color rgb="FF002060"/>
      </right>
      <top style="thin">
        <color theme="2" tint="-0.249977111117893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theme="2" tint="-0.249977111117893"/>
      </bottom>
      <diagonal/>
    </border>
    <border>
      <left/>
      <right/>
      <top style="medium">
        <color rgb="FF002060"/>
      </top>
      <bottom style="thin">
        <color theme="2" tint="-0.249977111117893"/>
      </bottom>
      <diagonal/>
    </border>
    <border>
      <left/>
      <right style="medium">
        <color rgb="FF002060"/>
      </right>
      <top style="medium">
        <color rgb="FF002060"/>
      </top>
      <bottom style="thin">
        <color theme="2" tint="-0.249977111117893"/>
      </bottom>
      <diagonal/>
    </border>
    <border>
      <left/>
      <right style="thin">
        <color rgb="FF002060"/>
      </right>
      <top style="medium">
        <color rgb="FF002060"/>
      </top>
      <bottom style="thin">
        <color theme="2" tint="-0.249977111117893"/>
      </bottom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7">
    <xf numFmtId="0" fontId="0" fillId="0" borderId="0" xfId="0"/>
    <xf numFmtId="1" fontId="4" fillId="0" borderId="0" xfId="0" applyNumberFormat="1" applyFont="1"/>
    <xf numFmtId="0" fontId="0" fillId="0" borderId="0" xfId="0" applyAlignment="1">
      <alignment horizontal="center"/>
    </xf>
    <xf numFmtId="0" fontId="5" fillId="5" borderId="9" xfId="0" applyFont="1" applyFill="1" applyBorder="1" applyAlignment="1">
      <alignment horizontal="left" indent="1"/>
    </xf>
    <xf numFmtId="0" fontId="5" fillId="5" borderId="1" xfId="0" applyFont="1" applyFill="1" applyBorder="1" applyAlignment="1">
      <alignment horizontal="left" indent="1"/>
    </xf>
    <xf numFmtId="166" fontId="5" fillId="0" borderId="10" xfId="1" applyNumberFormat="1" applyFont="1" applyBorder="1" applyAlignment="1">
      <alignment horizontal="center"/>
    </xf>
    <xf numFmtId="9" fontId="5" fillId="0" borderId="10" xfId="0" applyNumberFormat="1" applyFont="1" applyBorder="1" applyAlignment="1">
      <alignment horizontal="center"/>
    </xf>
    <xf numFmtId="0" fontId="5" fillId="5" borderId="11" xfId="0" applyFont="1" applyFill="1" applyBorder="1" applyAlignment="1">
      <alignment horizontal="left" indent="1"/>
    </xf>
    <xf numFmtId="0" fontId="5" fillId="5" borderId="12" xfId="0" applyFont="1" applyFill="1" applyBorder="1" applyAlignment="1">
      <alignment horizontal="left" indent="1"/>
    </xf>
    <xf numFmtId="166" fontId="5" fillId="0" borderId="13" xfId="1" applyNumberFormat="1" applyFont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0" borderId="16" xfId="0" applyFont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166" fontId="7" fillId="4" borderId="17" xfId="1" applyNumberFormat="1" applyFont="1" applyFill="1" applyBorder="1" applyAlignment="1">
      <alignment horizontal="center"/>
    </xf>
    <xf numFmtId="1" fontId="7" fillId="4" borderId="17" xfId="0" applyNumberFormat="1" applyFont="1" applyFill="1" applyBorder="1" applyAlignment="1">
      <alignment horizontal="center"/>
    </xf>
    <xf numFmtId="10" fontId="7" fillId="4" borderId="17" xfId="2" applyNumberFormat="1" applyFont="1" applyFill="1" applyBorder="1" applyAlignment="1">
      <alignment horizontal="center"/>
    </xf>
    <xf numFmtId="0" fontId="7" fillId="5" borderId="16" xfId="0" applyFont="1" applyFill="1" applyBorder="1" applyAlignment="1">
      <alignment horizontal="left" indent="1"/>
    </xf>
    <xf numFmtId="0" fontId="7" fillId="5" borderId="1" xfId="0" applyFont="1" applyFill="1" applyBorder="1" applyAlignment="1">
      <alignment horizontal="left" indent="1"/>
    </xf>
    <xf numFmtId="166" fontId="8" fillId="5" borderId="17" xfId="1" applyNumberFormat="1" applyFont="1" applyFill="1" applyBorder="1" applyAlignment="1">
      <alignment horizontal="center"/>
    </xf>
    <xf numFmtId="0" fontId="7" fillId="5" borderId="18" xfId="0" applyFont="1" applyFill="1" applyBorder="1" applyAlignment="1">
      <alignment horizontal="left" indent="1"/>
    </xf>
    <xf numFmtId="0" fontId="7" fillId="5" borderId="19" xfId="0" applyFont="1" applyFill="1" applyBorder="1" applyAlignment="1">
      <alignment horizontal="left" indent="1"/>
    </xf>
    <xf numFmtId="166" fontId="7" fillId="5" borderId="20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5" fillId="7" borderId="16" xfId="0" applyFont="1" applyFill="1" applyBorder="1"/>
    <xf numFmtId="166" fontId="7" fillId="5" borderId="1" xfId="0" applyNumberFormat="1" applyFont="1" applyFill="1" applyBorder="1" applyAlignment="1">
      <alignment horizontal="center"/>
    </xf>
    <xf numFmtId="166" fontId="7" fillId="5" borderId="17" xfId="0" applyNumberFormat="1" applyFont="1" applyFill="1" applyBorder="1" applyAlignment="1">
      <alignment horizontal="center"/>
    </xf>
    <xf numFmtId="0" fontId="5" fillId="7" borderId="18" xfId="0" applyFont="1" applyFill="1" applyBorder="1"/>
    <xf numFmtId="166" fontId="7" fillId="5" borderId="19" xfId="0" applyNumberFormat="1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2" fillId="2" borderId="0" xfId="3" applyBorder="1"/>
    <xf numFmtId="0" fontId="2" fillId="2" borderId="0" xfId="3" applyAlignment="1">
      <alignment horizontal="center"/>
    </xf>
    <xf numFmtId="0" fontId="3" fillId="7" borderId="0" xfId="0" applyFont="1" applyFill="1"/>
    <xf numFmtId="166" fontId="3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14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25" xfId="1" applyNumberFormat="1" applyFont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66" fontId="0" fillId="7" borderId="27" xfId="0" applyNumberForma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4" xfId="0" applyFill="1" applyBorder="1" applyAlignment="1">
      <alignment horizontal="center"/>
    </xf>
  </cellXfs>
  <cellStyles count="4">
    <cellStyle name="Currency" xfId="1" builtinId="4"/>
    <cellStyle name="Neutral" xfId="3" builtinId="28"/>
    <cellStyle name="Normal" xfId="0" builtinId="0"/>
    <cellStyle name="Percent" xfId="2" builtinId="5"/>
  </cellStyles>
  <dxfs count="5"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590550</xdr:colOff>
      <xdr:row>0</xdr:row>
      <xdr:rowOff>0</xdr:rowOff>
    </xdr:from>
    <xdr:to>
      <xdr:col>3</xdr:col>
      <xdr:colOff>1819275</xdr:colOff>
      <xdr:row>12</xdr:row>
      <xdr:rowOff>116780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984" b="14988"/>
        <a:stretch/>
      </xdr:blipFill>
      <xdr:spPr>
        <a:xfrm>
          <a:off x="590550" y="0"/>
          <a:ext cx="6391275" cy="240278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id="1" name="tipos" displayName="tipos" ref="A1:D19" totalsRowShown="0" dataDxfId="0">
  <autoFilter ref="A1:D19"/>
  <tableColumns count="4">
    <tableColumn id="1" name="CHAVE" dataDxfId="4">
      <calculatedColumnFormula>C2&amp;"-"&amp;B2</calculatedColumnFormula>
    </tableColumn>
    <tableColumn id="2" name="TIPO DE FII" dataDxfId="3"/>
    <tableColumn id="3" name="PERFIL" dataDxfId="2"/>
    <tableColumn id="4" name="%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F44"/>
  <sheetViews>
    <sheetView showGridLines="0" showRowColHeaders="0" tabSelected="1" workbookViewId="0">
      <selection activeCell="E1048488" sqref="E1048488"/>
    </sheetView>
  </sheetViews>
  <sheetFormatPr defaultColWidth="0" defaultRowHeight="15" x14ac:dyDescent="0.25"/>
  <cols>
    <col min="1" max="1" width="9.140625" customWidth="1"/>
    <col min="2" max="2" width="47.28515625" customWidth="1"/>
    <col min="3" max="3" width="21" bestFit="1" customWidth="1"/>
    <col min="4" max="4" width="27.5703125" customWidth="1"/>
    <col min="5" max="5" width="7.7109375" customWidth="1"/>
    <col min="6" max="6" width="14.5703125" hidden="1"/>
    <col min="7" max="16384" width="9.140625" hidden="1"/>
  </cols>
  <sheetData>
    <row r="13" spans="2:4" ht="15.75" thickBot="1" x14ac:dyDescent="0.3"/>
    <row r="14" spans="2:4" ht="19.5" x14ac:dyDescent="0.25">
      <c r="B14" s="30" t="s">
        <v>11</v>
      </c>
      <c r="C14" s="31"/>
      <c r="D14" s="32"/>
    </row>
    <row r="15" spans="2:4" ht="17.25" x14ac:dyDescent="0.3">
      <c r="B15" s="3" t="s">
        <v>12</v>
      </c>
      <c r="C15" s="4"/>
      <c r="D15" s="5">
        <v>1100</v>
      </c>
    </row>
    <row r="16" spans="2:4" ht="17.25" x14ac:dyDescent="0.3">
      <c r="B16" s="3" t="s">
        <v>13</v>
      </c>
      <c r="C16" s="4"/>
      <c r="D16" s="6">
        <v>0.01</v>
      </c>
    </row>
    <row r="17" spans="1:4" ht="18" thickBot="1" x14ac:dyDescent="0.35">
      <c r="B17" s="7" t="s">
        <v>14</v>
      </c>
      <c r="C17" s="8"/>
      <c r="D17" s="9">
        <f>D15*10%</f>
        <v>110</v>
      </c>
    </row>
    <row r="18" spans="1:4" ht="18" thickBot="1" x14ac:dyDescent="0.35">
      <c r="B18" s="10"/>
      <c r="C18" s="11"/>
      <c r="D18" s="11"/>
    </row>
    <row r="19" spans="1:4" ht="39.950000000000003" customHeight="1" x14ac:dyDescent="0.25">
      <c r="B19" s="33" t="s">
        <v>0</v>
      </c>
      <c r="C19" s="34"/>
      <c r="D19" s="35"/>
    </row>
    <row r="20" spans="1:4" ht="17.25" x14ac:dyDescent="0.3">
      <c r="B20" s="12" t="s">
        <v>1</v>
      </c>
      <c r="C20" s="13"/>
      <c r="D20" s="14">
        <f>D17</f>
        <v>110</v>
      </c>
    </row>
    <row r="21" spans="1:4" ht="17.25" x14ac:dyDescent="0.3">
      <c r="B21" s="12" t="s">
        <v>2</v>
      </c>
      <c r="C21" s="13"/>
      <c r="D21" s="15">
        <v>5</v>
      </c>
    </row>
    <row r="22" spans="1:4" ht="17.25" x14ac:dyDescent="0.3">
      <c r="B22" s="12" t="s">
        <v>3</v>
      </c>
      <c r="C22" s="13"/>
      <c r="D22" s="16">
        <v>1.0800000000000001E-2</v>
      </c>
    </row>
    <row r="23" spans="1:4" ht="17.25" x14ac:dyDescent="0.3">
      <c r="B23" s="17" t="s">
        <v>4</v>
      </c>
      <c r="C23" s="18"/>
      <c r="D23" s="19">
        <f>FV(D22, D21*12,D20)*-1</f>
        <v>9218.4421295184275</v>
      </c>
    </row>
    <row r="24" spans="1:4" ht="18" thickBot="1" x14ac:dyDescent="0.35">
      <c r="B24" s="20" t="s">
        <v>5</v>
      </c>
      <c r="C24" s="21"/>
      <c r="D24" s="22">
        <f>D23*0.1</f>
        <v>921.84421295184279</v>
      </c>
    </row>
    <row r="25" spans="1:4" ht="18" thickBot="1" x14ac:dyDescent="0.35">
      <c r="B25" s="23"/>
      <c r="C25" s="23"/>
      <c r="D25" s="24"/>
    </row>
    <row r="26" spans="1:4" ht="19.5" x14ac:dyDescent="0.25">
      <c r="B26" s="33" t="s">
        <v>15</v>
      </c>
      <c r="C26" s="36"/>
      <c r="D26" s="37" t="s">
        <v>16</v>
      </c>
    </row>
    <row r="27" spans="1:4" ht="17.25" x14ac:dyDescent="0.3">
      <c r="A27" s="1">
        <v>1</v>
      </c>
      <c r="B27" s="25" t="s">
        <v>8</v>
      </c>
      <c r="C27" s="26">
        <f>FV($D$22, A27*12,$D$20)*(-1)</f>
        <v>1401.3004796498001</v>
      </c>
      <c r="D27" s="27">
        <f>C27*$D$16</f>
        <v>14.013004796498</v>
      </c>
    </row>
    <row r="28" spans="1:4" ht="17.25" x14ac:dyDescent="0.3">
      <c r="A28" s="1">
        <v>2</v>
      </c>
      <c r="B28" s="25" t="s">
        <v>6</v>
      </c>
      <c r="C28" s="26">
        <f>FV($D$22, A28*12,$D$20)*(-1)</f>
        <v>2995.395002663975</v>
      </c>
      <c r="D28" s="27">
        <f>C28*$D$16</f>
        <v>29.953950026639749</v>
      </c>
    </row>
    <row r="29" spans="1:4" ht="17.25" x14ac:dyDescent="0.3">
      <c r="A29" s="1">
        <v>5</v>
      </c>
      <c r="B29" s="25" t="s">
        <v>7</v>
      </c>
      <c r="C29" s="26">
        <f>FV($D$22, A29*12,$D$20)*(-1)</f>
        <v>9218.4421295184275</v>
      </c>
      <c r="D29" s="27">
        <f>C29*$D$16</f>
        <v>92.184421295184279</v>
      </c>
    </row>
    <row r="30" spans="1:4" ht="17.25" x14ac:dyDescent="0.3">
      <c r="A30" s="1">
        <v>10</v>
      </c>
      <c r="B30" s="25" t="s">
        <v>9</v>
      </c>
      <c r="C30" s="26">
        <f>FV($D$22, A30*12,$D$20)*(-1)</f>
        <v>26780.343288028012</v>
      </c>
      <c r="D30" s="27">
        <f>C30*$D$16</f>
        <v>267.80343288028013</v>
      </c>
    </row>
    <row r="31" spans="1:4" ht="18" thickBot="1" x14ac:dyDescent="0.35">
      <c r="A31" s="1">
        <v>20</v>
      </c>
      <c r="B31" s="28" t="s">
        <v>10</v>
      </c>
      <c r="C31" s="29">
        <f>FV($D$22, A31*12,$D$20)*(-1)</f>
        <v>123975.38926283756</v>
      </c>
      <c r="D31" s="22">
        <f>C31*$D$16</f>
        <v>1239.7538926283758</v>
      </c>
    </row>
    <row r="34" spans="2:4" x14ac:dyDescent="0.25">
      <c r="B34" s="38" t="s">
        <v>19</v>
      </c>
      <c r="C34" s="39" t="s">
        <v>31</v>
      </c>
      <c r="D34" s="39"/>
    </row>
    <row r="35" spans="2:4" x14ac:dyDescent="0.25">
      <c r="B35" s="40" t="s">
        <v>18</v>
      </c>
      <c r="C35" s="41">
        <f>D20</f>
        <v>110</v>
      </c>
      <c r="D35" s="41"/>
    </row>
    <row r="37" spans="2:4" x14ac:dyDescent="0.25">
      <c r="B37" s="54" t="s">
        <v>20</v>
      </c>
      <c r="C37" s="55" t="s">
        <v>21</v>
      </c>
      <c r="D37" s="56" t="s">
        <v>22</v>
      </c>
    </row>
    <row r="38" spans="2:4" x14ac:dyDescent="0.25">
      <c r="B38" s="48" t="s">
        <v>23</v>
      </c>
      <c r="C38" s="49">
        <f>VLOOKUP($C$34&amp;"-"&amp;B38, Tipo_de_FIIs!A1:D19, 4,FALSE )</f>
        <v>0.32</v>
      </c>
      <c r="D38" s="50">
        <f>C38*$C$35</f>
        <v>35.200000000000003</v>
      </c>
    </row>
    <row r="39" spans="2:4" x14ac:dyDescent="0.25">
      <c r="B39" s="48" t="s">
        <v>24</v>
      </c>
      <c r="C39" s="49">
        <f>VLOOKUP($C$34&amp;"-"&amp;B39, Tipo_de_FIIs!A2:D20, 4,FALSE )</f>
        <v>0.4</v>
      </c>
      <c r="D39" s="50">
        <f t="shared" ref="D39:D43" si="0">C39*$C$35</f>
        <v>44</v>
      </c>
    </row>
    <row r="40" spans="2:4" x14ac:dyDescent="0.25">
      <c r="B40" s="48" t="s">
        <v>25</v>
      </c>
      <c r="C40" s="49">
        <f>VLOOKUP($C$34&amp;"-"&amp;B40, Tipo_de_FIIs!A3:D21, 4,FALSE )</f>
        <v>0.08</v>
      </c>
      <c r="D40" s="50">
        <f t="shared" si="0"/>
        <v>8.8000000000000007</v>
      </c>
    </row>
    <row r="41" spans="2:4" x14ac:dyDescent="0.25">
      <c r="B41" s="48" t="s">
        <v>26</v>
      </c>
      <c r="C41" s="49">
        <f>VLOOKUP($C$34&amp;"-"&amp;B41, Tipo_de_FIIs!A4:D22, 4,FALSE )</f>
        <v>0.1</v>
      </c>
      <c r="D41" s="50">
        <f t="shared" si="0"/>
        <v>11</v>
      </c>
    </row>
    <row r="42" spans="2:4" x14ac:dyDescent="0.25">
      <c r="B42" s="48" t="s">
        <v>27</v>
      </c>
      <c r="C42" s="49">
        <f>VLOOKUP($C$34&amp;"-"&amp;B42, Tipo_de_FIIs!A5:D23, 4,FALSE )</f>
        <v>0.1</v>
      </c>
      <c r="D42" s="50">
        <f t="shared" si="0"/>
        <v>11</v>
      </c>
    </row>
    <row r="43" spans="2:4" x14ac:dyDescent="0.25">
      <c r="B43" s="48" t="s">
        <v>28</v>
      </c>
      <c r="C43" s="49">
        <f>VLOOKUP($C$34&amp;"-"&amp;B43, Tipo_de_FIIs!A6:D24, 4,FALSE )</f>
        <v>0</v>
      </c>
      <c r="D43" s="50">
        <f t="shared" si="0"/>
        <v>0</v>
      </c>
    </row>
    <row r="44" spans="2:4" x14ac:dyDescent="0.25">
      <c r="B44" s="51"/>
      <c r="C44" s="52"/>
      <c r="D44" s="53">
        <f>SUM(D38:D43)</f>
        <v>110</v>
      </c>
    </row>
  </sheetData>
  <mergeCells count="13">
    <mergeCell ref="B26:C26"/>
    <mergeCell ref="C34:D34"/>
    <mergeCell ref="C35:D35"/>
    <mergeCell ref="B20:C20"/>
    <mergeCell ref="B21:C21"/>
    <mergeCell ref="B22:C22"/>
    <mergeCell ref="B23:C23"/>
    <mergeCell ref="B24:C24"/>
    <mergeCell ref="B14:D14"/>
    <mergeCell ref="B15:C15"/>
    <mergeCell ref="B16:C16"/>
    <mergeCell ref="B17:C17"/>
    <mergeCell ref="B19:D19"/>
  </mergeCells>
  <dataValidations count="1">
    <dataValidation type="list" allowBlank="1" showInputMessage="1" showErrorMessage="1" sqref="C34">
      <formula1>"CONSERVADOR, MODERADO, AGRESSIVO"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C33" sqref="C33"/>
    </sheetView>
  </sheetViews>
  <sheetFormatPr defaultRowHeight="15" x14ac:dyDescent="0.25"/>
  <cols>
    <col min="1" max="1" width="33.85546875" bestFit="1" customWidth="1"/>
    <col min="2" max="2" width="19" bestFit="1" customWidth="1"/>
    <col min="3" max="3" width="14.7109375" bestFit="1" customWidth="1"/>
  </cols>
  <sheetData>
    <row r="1" spans="1:4" x14ac:dyDescent="0.25">
      <c r="A1" t="s">
        <v>32</v>
      </c>
      <c r="B1" t="s">
        <v>20</v>
      </c>
      <c r="C1" t="s">
        <v>19</v>
      </c>
      <c r="D1" t="s">
        <v>30</v>
      </c>
    </row>
    <row r="2" spans="1:4" x14ac:dyDescent="0.25">
      <c r="A2" s="2" t="str">
        <f>C2&amp;"-"&amp;B2</f>
        <v>CONSERVADOR-PAPEL</v>
      </c>
      <c r="B2" s="2" t="s">
        <v>23</v>
      </c>
      <c r="C2" s="2" t="s">
        <v>29</v>
      </c>
      <c r="D2" s="43">
        <v>0.3</v>
      </c>
    </row>
    <row r="3" spans="1:4" x14ac:dyDescent="0.25">
      <c r="A3" s="2" t="str">
        <f t="shared" ref="A3:A19" si="0">C3&amp;"-"&amp;B3</f>
        <v>CONSERVADOR-TIJOLO</v>
      </c>
      <c r="B3" s="2" t="s">
        <v>24</v>
      </c>
      <c r="C3" s="2" t="s">
        <v>29</v>
      </c>
      <c r="D3" s="43">
        <v>0.5</v>
      </c>
    </row>
    <row r="4" spans="1:4" x14ac:dyDescent="0.25">
      <c r="A4" s="2" t="str">
        <f t="shared" si="0"/>
        <v>CONSERVADOR-HIBRIDOS</v>
      </c>
      <c r="B4" s="2" t="s">
        <v>25</v>
      </c>
      <c r="C4" s="2" t="s">
        <v>29</v>
      </c>
      <c r="D4" s="43">
        <v>0.1</v>
      </c>
    </row>
    <row r="5" spans="1:4" x14ac:dyDescent="0.25">
      <c r="A5" s="2" t="str">
        <f t="shared" si="0"/>
        <v>CONSERVADOR-FOFs</v>
      </c>
      <c r="B5" s="2" t="s">
        <v>26</v>
      </c>
      <c r="C5" s="2" t="s">
        <v>29</v>
      </c>
      <c r="D5" s="43">
        <v>0.1</v>
      </c>
    </row>
    <row r="6" spans="1:4" x14ac:dyDescent="0.25">
      <c r="A6" s="2" t="str">
        <f t="shared" si="0"/>
        <v>CONSERVADOR-DESENVOLVIMENTO</v>
      </c>
      <c r="B6" s="2" t="s">
        <v>27</v>
      </c>
      <c r="C6" s="2" t="s">
        <v>29</v>
      </c>
      <c r="D6" s="43">
        <v>0</v>
      </c>
    </row>
    <row r="7" spans="1:4" x14ac:dyDescent="0.25">
      <c r="A7" s="2" t="str">
        <f t="shared" si="0"/>
        <v>CONSERVADOR-HOTELARIAS</v>
      </c>
      <c r="B7" s="2" t="s">
        <v>28</v>
      </c>
      <c r="C7" s="2" t="s">
        <v>29</v>
      </c>
      <c r="D7" s="43">
        <v>0</v>
      </c>
    </row>
    <row r="8" spans="1:4" x14ac:dyDescent="0.25">
      <c r="A8" s="44" t="str">
        <f t="shared" si="0"/>
        <v>MODERADO-PAPEL</v>
      </c>
      <c r="B8" s="44" t="s">
        <v>23</v>
      </c>
      <c r="C8" s="44" t="s">
        <v>31</v>
      </c>
      <c r="D8" s="46">
        <v>0.32</v>
      </c>
    </row>
    <row r="9" spans="1:4" x14ac:dyDescent="0.25">
      <c r="A9" s="45" t="str">
        <f t="shared" si="0"/>
        <v>MODERADO-TIJOLO</v>
      </c>
      <c r="B9" s="45" t="s">
        <v>24</v>
      </c>
      <c r="C9" s="45" t="s">
        <v>31</v>
      </c>
      <c r="D9" s="47">
        <v>0.4</v>
      </c>
    </row>
    <row r="10" spans="1:4" x14ac:dyDescent="0.25">
      <c r="A10" s="45" t="str">
        <f t="shared" si="0"/>
        <v>MODERADO-HIBRIDOS</v>
      </c>
      <c r="B10" s="45" t="s">
        <v>25</v>
      </c>
      <c r="C10" s="45" t="s">
        <v>31</v>
      </c>
      <c r="D10" s="47">
        <v>0.08</v>
      </c>
    </row>
    <row r="11" spans="1:4" x14ac:dyDescent="0.25">
      <c r="A11" s="45" t="str">
        <f t="shared" si="0"/>
        <v>MODERADO-FOFs</v>
      </c>
      <c r="B11" s="45" t="s">
        <v>26</v>
      </c>
      <c r="C11" s="45" t="s">
        <v>31</v>
      </c>
      <c r="D11" s="47">
        <v>0.1</v>
      </c>
    </row>
    <row r="12" spans="1:4" x14ac:dyDescent="0.25">
      <c r="A12" s="45" t="str">
        <f t="shared" si="0"/>
        <v>MODERADO-DESENVOLVIMENTO</v>
      </c>
      <c r="B12" s="45" t="s">
        <v>27</v>
      </c>
      <c r="C12" s="45" t="s">
        <v>31</v>
      </c>
      <c r="D12" s="47">
        <v>0.1</v>
      </c>
    </row>
    <row r="13" spans="1:4" x14ac:dyDescent="0.25">
      <c r="A13" s="45" t="str">
        <f t="shared" si="0"/>
        <v>MODERADO-HOTELARIAS</v>
      </c>
      <c r="B13" s="45" t="s">
        <v>28</v>
      </c>
      <c r="C13" s="45" t="s">
        <v>31</v>
      </c>
      <c r="D13" s="47">
        <v>0</v>
      </c>
    </row>
    <row r="14" spans="1:4" x14ac:dyDescent="0.25">
      <c r="A14" s="44" t="str">
        <f t="shared" si="0"/>
        <v>AGRESSIVO-PAPEL</v>
      </c>
      <c r="B14" s="44" t="s">
        <v>23</v>
      </c>
      <c r="C14" s="44" t="s">
        <v>17</v>
      </c>
      <c r="D14" s="46">
        <v>0.5</v>
      </c>
    </row>
    <row r="15" spans="1:4" x14ac:dyDescent="0.25">
      <c r="A15" s="2" t="str">
        <f t="shared" si="0"/>
        <v>AGRESSIVO-TIJOLO</v>
      </c>
      <c r="B15" s="2" t="s">
        <v>24</v>
      </c>
      <c r="C15" s="2" t="s">
        <v>17</v>
      </c>
      <c r="D15" s="42">
        <v>0.1</v>
      </c>
    </row>
    <row r="16" spans="1:4" x14ac:dyDescent="0.25">
      <c r="A16" s="2" t="str">
        <f t="shared" si="0"/>
        <v>AGRESSIVO-HIBRIDOS</v>
      </c>
      <c r="B16" s="2" t="s">
        <v>25</v>
      </c>
      <c r="C16" s="2" t="s">
        <v>17</v>
      </c>
      <c r="D16" s="42">
        <v>0.05</v>
      </c>
    </row>
    <row r="17" spans="1:4" x14ac:dyDescent="0.25">
      <c r="A17" s="2" t="str">
        <f t="shared" si="0"/>
        <v>AGRESSIVO-FOFs</v>
      </c>
      <c r="B17" s="2" t="s">
        <v>26</v>
      </c>
      <c r="C17" s="2" t="s">
        <v>17</v>
      </c>
      <c r="D17" s="42">
        <v>0.05</v>
      </c>
    </row>
    <row r="18" spans="1:4" x14ac:dyDescent="0.25">
      <c r="A18" s="2" t="str">
        <f t="shared" si="0"/>
        <v>AGRESSIVO-DESENVOLVIMENTO</v>
      </c>
      <c r="B18" s="2" t="s">
        <v>27</v>
      </c>
      <c r="C18" s="2" t="s">
        <v>17</v>
      </c>
      <c r="D18" s="42">
        <v>0.2</v>
      </c>
    </row>
    <row r="19" spans="1:4" x14ac:dyDescent="0.25">
      <c r="A19" s="2" t="str">
        <f t="shared" si="0"/>
        <v>AGRESSIVO-HOTELARIAS</v>
      </c>
      <c r="B19" s="2" t="s">
        <v>28</v>
      </c>
      <c r="C19" s="2" t="s">
        <v>17</v>
      </c>
      <c r="D19" s="42">
        <v>0.1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Principal</vt:lpstr>
      <vt:lpstr>Tipo_de_FIIs</vt:lpstr>
      <vt:lpstr>rendimento_carteira</vt:lpstr>
      <vt:lpstr>salario</vt:lpstr>
      <vt:lpstr>taxa_rendimento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danie</cp:lastModifiedBy>
  <dcterms:created xsi:type="dcterms:W3CDTF">2026-01-12T22:44:44Z</dcterms:created>
  <dcterms:modified xsi:type="dcterms:W3CDTF">2026-01-13T00:36:06Z</dcterms:modified>
</cp:coreProperties>
</file>